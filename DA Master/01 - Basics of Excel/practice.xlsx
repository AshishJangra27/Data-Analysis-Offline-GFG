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ishzangra/Downloads/"/>
    </mc:Choice>
  </mc:AlternateContent>
  <xr:revisionPtr revIDLastSave="0" documentId="8_{5D116AD1-57A1-954A-B6D6-3AB33E81ECEC}" xr6:coauthVersionLast="47" xr6:coauthVersionMax="47" xr10:uidLastSave="{00000000-0000-0000-0000-000000000000}"/>
  <bookViews>
    <workbookView xWindow="0" yWindow="0" windowWidth="38400" windowHeight="21600" xr2:uid="{A93C571F-E352-F343-8DCF-5FB29CC128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" l="1" a="1"/>
  <c r="M36" i="1" s="1"/>
  <c r="J39" i="1" l="1"/>
  <c r="K37" i="1"/>
  <c r="K36" i="1"/>
  <c r="L37" i="1"/>
  <c r="L36" i="1"/>
  <c r="N16" i="1"/>
  <c r="K19" i="1"/>
  <c r="K28" i="1"/>
  <c r="K27" i="1"/>
  <c r="K24" i="1"/>
  <c r="K23" i="1"/>
  <c r="K25" i="1" s="1"/>
  <c r="K26" i="1"/>
  <c r="K22" i="1"/>
  <c r="K20" i="1"/>
  <c r="K18" i="1"/>
  <c r="I3" i="1"/>
  <c r="I4" i="1"/>
  <c r="I5" i="1"/>
  <c r="I6" i="1"/>
  <c r="I7" i="1"/>
  <c r="I8" i="1"/>
  <c r="I9" i="1"/>
  <c r="I10" i="1"/>
  <c r="I11" i="1"/>
  <c r="I12" i="1"/>
  <c r="I13" i="1"/>
  <c r="I2" i="1"/>
  <c r="G14" i="1"/>
  <c r="F14" i="1"/>
  <c r="E14" i="1"/>
  <c r="D14" i="1"/>
  <c r="C14" i="1"/>
  <c r="H3" i="1"/>
  <c r="H2" i="1"/>
  <c r="H4" i="1"/>
  <c r="H5" i="1"/>
  <c r="H6" i="1"/>
  <c r="H7" i="1"/>
  <c r="H8" i="1"/>
  <c r="H9" i="1"/>
  <c r="K9" i="1" s="1"/>
  <c r="H10" i="1"/>
  <c r="H11" i="1"/>
  <c r="H12" i="1"/>
  <c r="H13" i="1"/>
  <c r="K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<sst xmlns="http://schemas.openxmlformats.org/spreadsheetml/2006/main" count="21" uniqueCount="21">
  <si>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Roll No</t>
  </si>
  <si>
    <t>Hindi</t>
  </si>
  <si>
    <t>english</t>
  </si>
  <si>
    <t>Sci</t>
  </si>
  <si>
    <t>Maths</t>
  </si>
  <si>
    <t>Punjabi</t>
  </si>
  <si>
    <t>Total</t>
  </si>
  <si>
    <t>Average</t>
  </si>
  <si>
    <t>sum of all the number</t>
  </si>
  <si>
    <t>sum of even rows</t>
  </si>
  <si>
    <t>sum of odd rows</t>
  </si>
  <si>
    <t>diff between sum of even and odd rows</t>
  </si>
  <si>
    <t>avg of all the number</t>
  </si>
  <si>
    <t>avg of even rows</t>
  </si>
  <si>
    <t>avg of odd rows</t>
  </si>
  <si>
    <t>diff between avg of even and odd rows</t>
  </si>
  <si>
    <t>add 10 to the averge of all the numbers</t>
  </si>
  <si>
    <t>minimum number in the table</t>
  </si>
  <si>
    <t>maximum number in the table</t>
  </si>
  <si>
    <t xml:space="preserve">      Ashish         kUmar         jangra </t>
  </si>
  <si>
    <t xml:space="preserve">   ChiRag       ShaRma.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</si>
</sst>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F11A-0C13-8D44-B12F-8047985CBEF3}">
  <dimension ref="B1:O39"/>
  <sheetViews>
    <sheetView tabSelected="1" topLeftCell="A16" zoomScale="150" zoomScaleNormal="399" workbookViewId="0">
      <selection activeCell="O36" sqref="O36"/>
    </sheetView>
  </sheetViews>
  <sheetFormatPr baseColWidth="10" defaultRowHeight="16" x14ac:dyDescent="0.2"/>
  <cols>
    <col min="1" max="1" width="5.5" customWidth="1"/>
    <col min="2" max="2" width="9.1640625" customWidth="1"/>
    <col min="3" max="3" width="5.5" customWidth="1"/>
    <col min="4" max="4" width="8.1640625" customWidth="1"/>
    <col min="5" max="5" width="6.1640625" customWidth="1"/>
    <col min="6" max="6" width="8.33203125" customWidth="1"/>
    <col min="7" max="7" width="8.5" customWidth="1"/>
    <col min="9" max="9" width="9.5" customWidth="1"/>
    <col min="10" max="10" width="32.5" customWidth="1"/>
    <col min="11" max="11" width="21.6640625" customWidth="1"/>
    <col min="12" max="12" width="18.83203125" customWidth="1"/>
  </cols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14" x14ac:dyDescent="0.2">
      <c r="B2">
        <v>1</v>
      </c>
      <c r="C2">
        <v>65</v>
      </c>
      <c r="D2">
        <v>56</v>
      </c>
      <c r="E2">
        <v>65</v>
      </c>
      <c r="F2">
        <v>54</v>
      </c>
      <c r="G2">
        <v>65</v>
      </c>
      <c r="H2">
        <f>SUM(C2,D2,E2,F2,G2)</f>
        <v>305</v>
      </c>
      <c r="I2">
        <f>AVERAGE(C2:G2)</f>
        <v>61</v>
      </c>
    </row>
    <row r="3" spans="2:14" x14ac:dyDescent="0.2">
      <c r="B3">
        <v>2</v>
      </c>
      <c r="C3">
        <v>66</v>
      </c>
      <c r="D3">
        <v>66</v>
      </c>
      <c r="E3">
        <v>66</v>
      </c>
      <c r="F3">
        <v>66</v>
      </c>
      <c r="G3">
        <v>66</v>
      </c>
      <c r="H3">
        <f>SUM(C3,D3,E3,F3,G3)</f>
        <v>330</v>
      </c>
      <c r="I3">
        <f t="shared" ref="I3:I13" si="0">AVERAGE(C3:G3)</f>
        <v>66</v>
      </c>
    </row>
    <row r="4" spans="2:14" x14ac:dyDescent="0.2">
      <c r="B4">
        <v>3</v>
      </c>
      <c r="C4">
        <v>67</v>
      </c>
      <c r="D4">
        <v>67</v>
      </c>
      <c r="E4">
        <v>67</v>
      </c>
      <c r="F4">
        <v>67</v>
      </c>
      <c r="G4">
        <v>67</v>
      </c>
      <c r="H4">
        <f t="shared" ref="H4:H13" si="1">SUM(C4,D4,E4,F4,G4)</f>
        <v>335</v>
      </c>
      <c r="I4">
        <f t="shared" si="0"/>
        <v>67</v>
      </c>
      <c r="K4">
        <v>3.1454</v>
      </c>
      <c r="L4">
        <v>3.14</v>
      </c>
    </row>
    <row r="5" spans="2:14" x14ac:dyDescent="0.2">
      <c r="B5">
        <v>4</v>
      </c>
      <c r="C5">
        <v>68</v>
      </c>
      <c r="D5">
        <v>68</v>
      </c>
      <c r="E5">
        <v>68</v>
      </c>
      <c r="F5">
        <v>68</v>
      </c>
      <c r="G5">
        <v>68</v>
      </c>
      <c r="H5">
        <f t="shared" si="1"/>
        <v>340</v>
      </c>
      <c r="I5">
        <f t="shared" si="0"/>
        <v>68</v>
      </c>
    </row>
    <row r="6" spans="2:14" x14ac:dyDescent="0.2">
      <c r="B6">
        <v>5</v>
      </c>
      <c r="C6">
        <v>69</v>
      </c>
      <c r="D6">
        <v>69</v>
      </c>
      <c r="E6">
        <v>69</v>
      </c>
      <c r="F6">
        <v>69</v>
      </c>
      <c r="G6">
        <v>69</v>
      </c>
      <c r="H6">
        <f t="shared" si="1"/>
        <v>345</v>
      </c>
      <c r="I6">
        <f t="shared" si="0"/>
        <v>69</v>
      </c>
    </row>
    <row r="7" spans="2:14" x14ac:dyDescent="0.2">
      <c r="B7">
        <v>6</v>
      </c>
      <c r="C7">
        <v>70</v>
      </c>
      <c r="D7">
        <v>70</v>
      </c>
      <c r="E7">
        <v>70</v>
      </c>
      <c r="F7">
        <v>70</v>
      </c>
      <c r="G7">
        <v>70</v>
      </c>
      <c r="H7">
        <f t="shared" si="1"/>
        <v>350</v>
      </c>
      <c r="I7">
        <f t="shared" si="0"/>
        <v>70</v>
      </c>
    </row>
    <row r="8" spans="2:14" x14ac:dyDescent="0.2">
      <c r="B8">
        <v>7</v>
      </c>
      <c r="C8">
        <v>71</v>
      </c>
      <c r="D8">
        <v>71</v>
      </c>
      <c r="E8">
        <v>71</v>
      </c>
      <c r="F8">
        <v>71</v>
      </c>
      <c r="G8">
        <v>71</v>
      </c>
      <c r="H8">
        <f t="shared" si="1"/>
        <v>355</v>
      </c>
      <c r="I8">
        <f t="shared" si="0"/>
        <v>71</v>
      </c>
    </row>
    <row r="9" spans="2:14" x14ac:dyDescent="0.2">
      <c r="B9">
        <v>8</v>
      </c>
      <c r="C9">
        <v>72</v>
      </c>
      <c r="D9">
        <v>72</v>
      </c>
      <c r="E9">
        <v>72</v>
      </c>
      <c r="F9">
        <v>72</v>
      </c>
      <c r="G9">
        <v>72</v>
      </c>
      <c r="H9">
        <f t="shared" si="1"/>
        <v>360</v>
      </c>
      <c r="I9">
        <f t="shared" si="0"/>
        <v>72</v>
      </c>
      <c r="K9">
        <f>SUM(B6:G12,1319,1,H9, B9:G9)</f>
        <v>4602</v>
      </c>
    </row>
    <row r="10" spans="2:14" x14ac:dyDescent="0.2">
      <c r="B10">
        <v>9</v>
      </c>
      <c r="C10">
        <v>73</v>
      </c>
      <c r="D10">
        <v>74</v>
      </c>
      <c r="E10">
        <v>73</v>
      </c>
      <c r="F10">
        <v>73</v>
      </c>
      <c r="G10">
        <v>73</v>
      </c>
      <c r="H10">
        <f t="shared" si="1"/>
        <v>366</v>
      </c>
      <c r="I10">
        <f t="shared" si="0"/>
        <v>73.2</v>
      </c>
    </row>
    <row r="11" spans="2:14" x14ac:dyDescent="0.2">
      <c r="B11">
        <v>10</v>
      </c>
      <c r="C11">
        <v>51</v>
      </c>
      <c r="D11">
        <v>74</v>
      </c>
      <c r="E11">
        <v>74</v>
      </c>
      <c r="F11">
        <v>74</v>
      </c>
      <c r="G11">
        <v>74</v>
      </c>
      <c r="H11">
        <f t="shared" si="1"/>
        <v>347</v>
      </c>
      <c r="I11">
        <f t="shared" si="0"/>
        <v>69.400000000000006</v>
      </c>
    </row>
    <row r="12" spans="2:14" x14ac:dyDescent="0.2">
      <c r="B12">
        <v>11</v>
      </c>
      <c r="C12">
        <v>75</v>
      </c>
      <c r="D12">
        <v>75</v>
      </c>
      <c r="E12">
        <v>75</v>
      </c>
      <c r="F12">
        <v>75</v>
      </c>
      <c r="G12">
        <v>75</v>
      </c>
      <c r="H12">
        <f t="shared" si="1"/>
        <v>375</v>
      </c>
      <c r="I12">
        <f t="shared" si="0"/>
        <v>75</v>
      </c>
    </row>
    <row r="13" spans="2:14" x14ac:dyDescent="0.2">
      <c r="B13">
        <v>12</v>
      </c>
      <c r="C13">
        <v>76</v>
      </c>
      <c r="D13">
        <v>76</v>
      </c>
      <c r="E13">
        <v>76</v>
      </c>
      <c r="F13">
        <v>76</v>
      </c>
      <c r="G13">
        <v>76</v>
      </c>
      <c r="H13">
        <f t="shared" si="1"/>
        <v>380</v>
      </c>
      <c r="I13">
        <f t="shared" si="0"/>
        <v>76</v>
      </c>
    </row>
    <row r="14" spans="2:14" x14ac:dyDescent="0.2">
      <c r="C14">
        <f>AVERAGE(C2:C13)</f>
        <v>68.583333333333329</v>
      </c>
      <c r="D14">
        <f>AVERAGE(D2:D13)</f>
        <v>69.833333333333329</v>
      </c>
      <c r="E14">
        <f>AVERAGE(E2:E13)</f>
        <v>70.5</v>
      </c>
      <c r="F14">
        <f>AVERAGE(F2:F13)</f>
        <v>69.583333333333329</v>
      </c>
      <c r="G14">
        <f>AVERAGE(G2:G13)</f>
        <v>70.5</v>
      </c>
    </row>
    <row r="16" spans="2:14" x14ac:dyDescent="0.2">
      <c r="M16">
        <v>35.64564</v>
      </c>
      <c r="N16">
        <f>ROUND(M16,2)</f>
        <v>35.65</v>
      </c>
    </row>
    <row r="18" spans="4:11" x14ac:dyDescent="0.2">
      <c r="D18" s="2">
        <v>2</v>
      </c>
      <c r="E18" s="2">
        <v>3</v>
      </c>
      <c r="F18" s="2">
        <v>4</v>
      </c>
      <c r="G18" s="2">
        <v>5</v>
      </c>
      <c r="H18" s="2">
        <v>6</v>
      </c>
      <c r="J18" t="s">
        <v>8</v>
      </c>
      <c r="K18">
        <f>SUM(D18:H25)</f>
        <v>300</v>
      </c>
    </row>
    <row r="19" spans="4:11" x14ac:dyDescent="0.2">
      <c r="D19" s="2">
        <v>3</v>
      </c>
      <c r="E19" s="2">
        <v>4</v>
      </c>
      <c r="F19" s="2">
        <v>5</v>
      </c>
      <c r="G19" s="2">
        <v>6</v>
      </c>
      <c r="H19" s="2">
        <v>7</v>
      </c>
      <c r="J19" t="s">
        <v>9</v>
      </c>
      <c r="K19">
        <f>SUM(D18:H18,D20:H20,D22:H22,D24:H24)</f>
        <v>140</v>
      </c>
    </row>
    <row r="20" spans="4:11" x14ac:dyDescent="0.2">
      <c r="D20" s="2">
        <v>4</v>
      </c>
      <c r="E20" s="2">
        <v>5</v>
      </c>
      <c r="F20" s="2">
        <v>6</v>
      </c>
      <c r="G20" s="2">
        <v>7</v>
      </c>
      <c r="H20" s="2">
        <v>8</v>
      </c>
      <c r="J20" t="s">
        <v>10</v>
      </c>
      <c r="K20">
        <f>SUM(D19:H19,D21:H21,D23:H23,D25:H25)</f>
        <v>160</v>
      </c>
    </row>
    <row r="21" spans="4:11" x14ac:dyDescent="0.2">
      <c r="D21" s="2">
        <v>5</v>
      </c>
      <c r="E21" s="2">
        <v>6</v>
      </c>
      <c r="F21" s="2">
        <v>7</v>
      </c>
      <c r="G21" s="2">
        <v>8</v>
      </c>
      <c r="H21" s="2">
        <v>9</v>
      </c>
      <c r="J21" t="s">
        <v>11</v>
      </c>
      <c r="K21">
        <f>K20-K19</f>
        <v>20</v>
      </c>
    </row>
    <row r="22" spans="4:11" x14ac:dyDescent="0.2">
      <c r="D22" s="2">
        <v>6</v>
      </c>
      <c r="E22" s="2">
        <v>7</v>
      </c>
      <c r="F22" s="2">
        <v>8</v>
      </c>
      <c r="G22" s="2">
        <v>9</v>
      </c>
      <c r="H22" s="2">
        <v>10</v>
      </c>
      <c r="J22" t="s">
        <v>12</v>
      </c>
      <c r="K22">
        <f>AVERAGE(D18:H25)</f>
        <v>7.5</v>
      </c>
    </row>
    <row r="23" spans="4:11" x14ac:dyDescent="0.2">
      <c r="D23" s="2">
        <v>7</v>
      </c>
      <c r="E23" s="2">
        <v>8</v>
      </c>
      <c r="F23" s="2">
        <v>9</v>
      </c>
      <c r="G23" s="2">
        <v>10</v>
      </c>
      <c r="H23" s="2">
        <v>11</v>
      </c>
      <c r="J23" t="s">
        <v>13</v>
      </c>
      <c r="K23">
        <f>AVERAGE(D18:H18,D20:H20,D22:H22,D24:H24)</f>
        <v>7</v>
      </c>
    </row>
    <row r="24" spans="4:11" x14ac:dyDescent="0.2">
      <c r="D24" s="2">
        <v>8</v>
      </c>
      <c r="E24" s="2">
        <v>9</v>
      </c>
      <c r="F24" s="2">
        <v>10</v>
      </c>
      <c r="G24" s="2">
        <v>11</v>
      </c>
      <c r="H24" s="2">
        <v>12</v>
      </c>
      <c r="J24" t="s">
        <v>14</v>
      </c>
      <c r="K24">
        <f>AVERAGE(D19:H19,D21:H21,D23:H23,D25:H25)</f>
        <v>8</v>
      </c>
    </row>
    <row r="25" spans="4:11" x14ac:dyDescent="0.2">
      <c r="D25" s="2">
        <v>9</v>
      </c>
      <c r="E25" s="2">
        <v>10</v>
      </c>
      <c r="F25" s="2">
        <v>11</v>
      </c>
      <c r="G25" s="2">
        <v>12</v>
      </c>
      <c r="H25" s="2">
        <v>13</v>
      </c>
      <c r="J25" t="s">
        <v>15</v>
      </c>
      <c r="K25">
        <f>K23-K24</f>
        <v>-1</v>
      </c>
    </row>
    <row r="26" spans="4:11" x14ac:dyDescent="0.2">
      <c r="J26" t="s">
        <v>16</v>
      </c>
      <c r="K26">
        <f>AVERAGE(D18:H25)+10</f>
        <v>17.5</v>
      </c>
    </row>
    <row r="27" spans="4:11" x14ac:dyDescent="0.2">
      <c r="J27" t="s">
        <v>17</v>
      </c>
      <c r="K27">
        <f>MIN(D18:H25)</f>
        <v>2</v>
      </c>
    </row>
    <row r="28" spans="4:11" x14ac:dyDescent="0.2">
      <c r="J28" t="s">
        <v>18</v>
      </c>
      <c r="K28">
        <f>MAX(D18:H25)</f>
        <v>13</v>
      </c>
    </row>
    <row r="36" spans="10:15" x14ac:dyDescent="0.2">
      <c r="J36" t="s">
        <v>19</v>
      </c>
      <c r="K36" t="str">
        <f>TRIM(PROPER(J36))</f>
        <v>Ashish Kumar Jangra</v>
      </c>
      <c r="L36" t="str">
        <f>PROPER(TRIM(J36))</f>
        <v>Ashish Kumar Jangra</v>
      </c>
      <c r="M36" t="str" cm="1">
        <f t="array" ref="M36:O36">_xlfn.TEXTSPLIT(K36,"sh")</f>
        <v>A</v>
      </c>
      <c r="N36" t="str">
        <v>i</v>
      </c>
      <c r="O36" t="str">
        <v xml:space="preserve"> Kumar Jangra</v>
      </c>
    </row>
    <row r="37" spans="10:15" x14ac:dyDescent="0.2">
      <c r="J37" t="s">
        <v>20</v>
      </c>
      <c r="K37" t="str">
        <f>TRIM(PROPER(J37))</f>
        <v>Chirag Sharma.</v>
      </c>
      <c r="L37" t="str">
        <f>PROPER(TRIM(J37))</f>
        <v>Chirag Sharma.</v>
      </c>
    </row>
    <row r="39" spans="10:15" x14ac:dyDescent="0.2">
      <c r="J39">
        <f>LEN(TRIM(J37))</f>
        <v>14</v>
      </c>
    </row>
  </sheetData>
  <pageMargins left="0.7" right="0.7" top="0.75" bottom="0.75" header="0.3" footer="0.3"/>
  <ignoredErrors>
    <ignoredError sqref="I2 I3: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Ashish Jangra</cp:lastModifiedBy>
  <dcterms:created xsi:type="dcterms:W3CDTF">2026-01-03T11:38:07Z</dcterms:created>
  <dcterms:modified xsi:type="dcterms:W3CDTF">2026-01-03T12:56:36Z</dcterms:modified>
</cp:coreProperties>
</file>