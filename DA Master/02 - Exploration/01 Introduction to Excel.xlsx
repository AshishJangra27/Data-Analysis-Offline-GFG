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shzangra/Downloads/DA Master/01 - Basics of Excel/"/>
    </mc:Choice>
  </mc:AlternateContent>
  <xr:revisionPtr revIDLastSave="0" documentId="13_ncr:1_{A98F67A8-0DB1-7D4C-9255-0B6EAB6313EB}" xr6:coauthVersionLast="47" xr6:coauthVersionMax="47" xr10:uidLastSave="{00000000-0000-0000-0000-000000000000}"/>
  <bookViews>
    <workbookView xWindow="0" yWindow="0" windowWidth="38400" windowHeight="21600" activeTab="1" xr2:uid="{F00EC137-1A5B-A040-B7F6-76A25CD8EF4D}"/>
  </bookViews>
  <sheets>
    <sheet name="1. Introduction to Excel" sheetId="1" r:id="rId1"/>
    <sheet name="2. Text Clean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P7" i="3" s="1"/>
  <c r="L9" i="3"/>
  <c r="O5" i="3"/>
  <c r="O6" i="3"/>
  <c r="O7" i="3"/>
  <c r="O8" i="3"/>
  <c r="O9" i="3"/>
  <c r="O10" i="3"/>
  <c r="O11" i="3"/>
  <c r="O12" i="3"/>
  <c r="O13" i="3"/>
  <c r="M18" i="3"/>
  <c r="L13" i="3"/>
  <c r="M13" i="3"/>
  <c r="N13" i="3"/>
  <c r="N5" i="3"/>
  <c r="N6" i="3"/>
  <c r="N7" i="3"/>
  <c r="N8" i="3"/>
  <c r="N9" i="3"/>
  <c r="N10" i="3"/>
  <c r="N11" i="3"/>
  <c r="N12" i="3"/>
  <c r="M5" i="3"/>
  <c r="M6" i="3"/>
  <c r="M7" i="3"/>
  <c r="M8" i="3"/>
  <c r="M9" i="3"/>
  <c r="M10" i="3"/>
  <c r="M11" i="3"/>
  <c r="M12" i="3"/>
  <c r="L12" i="3"/>
  <c r="L5" i="3"/>
  <c r="L6" i="3"/>
  <c r="L7" i="3"/>
  <c r="L10" i="3"/>
  <c r="L11" i="3"/>
  <c r="G4" i="3"/>
  <c r="F4" i="3"/>
  <c r="F17" i="3"/>
  <c r="H25" i="1"/>
  <c r="H24" i="1"/>
  <c r="H23" i="1"/>
  <c r="E15" i="3"/>
  <c r="B28" i="1"/>
  <c r="B27" i="1"/>
  <c r="B21" i="1"/>
  <c r="E16" i="3" a="1"/>
  <c r="E16" i="3" s="1"/>
  <c r="E14" i="3"/>
  <c r="E13" i="3"/>
  <c r="F20" i="3" a="1"/>
  <c r="F20" i="3" s="1"/>
  <c r="E21" i="3"/>
  <c r="E22" i="3"/>
  <c r="E23" i="3"/>
  <c r="E20" i="3"/>
  <c r="D21" i="3"/>
  <c r="D22" i="3"/>
  <c r="D23" i="3"/>
  <c r="D20" i="3"/>
  <c r="D19" i="3"/>
  <c r="E8" i="3"/>
  <c r="E12" i="3"/>
  <c r="E11" i="3"/>
  <c r="E10" i="3"/>
  <c r="E9" i="3"/>
  <c r="E7" i="3"/>
  <c r="E6" i="3"/>
  <c r="E5" i="3"/>
  <c r="C33" i="1"/>
  <c r="B33" i="1"/>
  <c r="C32" i="1"/>
  <c r="B32" i="1"/>
  <c r="D32" i="1" s="1"/>
  <c r="B31" i="1"/>
  <c r="D31" i="1" s="1"/>
  <c r="C31" i="1"/>
  <c r="B30" i="1"/>
  <c r="B29" i="1"/>
  <c r="C20" i="1"/>
  <c r="C19" i="1"/>
  <c r="C18" i="1"/>
  <c r="H16" i="1"/>
  <c r="H17" i="1"/>
  <c r="H15" i="1"/>
  <c r="H14" i="1"/>
  <c r="D3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<sst xmlns="http://schemas.openxmlformats.org/spreadsheetml/2006/main" count="111" uniqueCount="80">
  <si>
    <t>Row</t>
  </si>
  <si>
    <t>Col</t>
  </si>
  <si>
    <t>B</t>
  </si>
  <si>
    <t>Cell Naming</t>
  </si>
  <si>
    <t>B3</t>
  </si>
  <si>
    <t>Text Formatting</t>
  </si>
  <si>
    <t>Merging</t>
  </si>
  <si>
    <t>Text Merged</t>
  </si>
  <si>
    <t>Types of Data in Excel</t>
  </si>
  <si>
    <t>text</t>
  </si>
  <si>
    <t>Text Replication</t>
  </si>
  <si>
    <t>Numeric Replication</t>
  </si>
  <si>
    <t>A</t>
  </si>
  <si>
    <t>Ashish</t>
  </si>
  <si>
    <t>Kumar</t>
  </si>
  <si>
    <t>Jangra</t>
  </si>
  <si>
    <t>Example</t>
  </si>
  <si>
    <t>Formulas</t>
  </si>
  <si>
    <t>SUM</t>
  </si>
  <si>
    <t>AVERAGE</t>
  </si>
  <si>
    <t>MAX</t>
  </si>
  <si>
    <t>MIN</t>
  </si>
  <si>
    <t>ROUND</t>
  </si>
  <si>
    <t>RAND</t>
  </si>
  <si>
    <t>ROUNDUP</t>
  </si>
  <si>
    <t>ROUNDDOWN</t>
  </si>
  <si>
    <t>Math and Trigonometry Functions</t>
  </si>
  <si>
    <t>Statistical Functions</t>
  </si>
  <si>
    <t>COUNT</t>
  </si>
  <si>
    <t>COUNTA</t>
  </si>
  <si>
    <t>COUNTIF</t>
  </si>
  <si>
    <t>CONCATENATE</t>
  </si>
  <si>
    <t>LEFT</t>
  </si>
  <si>
    <t>RIGHT</t>
  </si>
  <si>
    <t>LEN</t>
  </si>
  <si>
    <t>MID</t>
  </si>
  <si>
    <t>Date and Time Functions</t>
  </si>
  <si>
    <t>NOW</t>
  </si>
  <si>
    <t>TODAY</t>
  </si>
  <si>
    <t>TIME</t>
  </si>
  <si>
    <t>DATE</t>
  </si>
  <si>
    <t>Ashish Jangra</t>
  </si>
  <si>
    <t>DATEDIF | Days</t>
  </si>
  <si>
    <t>DATEDIF | Month</t>
  </si>
  <si>
    <t>DATEDIF | Year</t>
  </si>
  <si>
    <t>Random Number in Specific Range</t>
  </si>
  <si>
    <t>Interface Walkthrough</t>
  </si>
  <si>
    <t>No. of Numeric Values</t>
  </si>
  <si>
    <t>No of non-empty cells</t>
  </si>
  <si>
    <t>&gt;= 15</t>
  </si>
  <si>
    <t>Function</t>
  </si>
  <si>
    <t>LOWER</t>
  </si>
  <si>
    <t>UPPER</t>
  </si>
  <si>
    <t>PROPER</t>
  </si>
  <si>
    <t>Ashish jangra</t>
  </si>
  <si>
    <t>TRIM</t>
  </si>
  <si>
    <t xml:space="preserve">     Ashish      Jangra</t>
  </si>
  <si>
    <t>FIND</t>
  </si>
  <si>
    <t>SEARCH</t>
  </si>
  <si>
    <t>REPLACE</t>
  </si>
  <si>
    <t>TEXTSPLIT</t>
  </si>
  <si>
    <t>TEXTJOIN</t>
  </si>
  <si>
    <t>Text</t>
  </si>
  <si>
    <t xml:space="preserve">      Ashish JanGra</t>
  </si>
  <si>
    <t>wallet</t>
  </si>
  <si>
    <t>Wallet</t>
  </si>
  <si>
    <t>WALLET</t>
  </si>
  <si>
    <t>WALlet</t>
  </si>
  <si>
    <t>Name</t>
  </si>
  <si>
    <t>Age</t>
  </si>
  <si>
    <t>Manish</t>
  </si>
  <si>
    <t>Gaurav</t>
  </si>
  <si>
    <t>Dinesh</t>
  </si>
  <si>
    <t>Eligibility</t>
  </si>
  <si>
    <t>Turtle</t>
  </si>
  <si>
    <t>eligible</t>
  </si>
  <si>
    <t>not eligible</t>
  </si>
  <si>
    <t>person does not exists</t>
  </si>
  <si>
    <t>abc</t>
  </si>
  <si>
    <t>age not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</si>
</sst>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0"/>
      <name val="Apple Braille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0" xfId="0" applyFont="1" applyFill="1" applyAlignment="1">
      <alignment horizontal="center"/>
    </xf>
    <xf numFmtId="0" fontId="0" fillId="0" borderId="0" xfId="0" quotePrefix="1"/>
    <xf numFmtId="14" fontId="0" fillId="0" borderId="0" xfId="0" applyNumberFormat="1"/>
    <xf numFmtId="0" fontId="0" fillId="0" borderId="1" xfId="0" applyBorder="1"/>
    <xf numFmtId="22" fontId="0" fillId="0" borderId="0" xfId="0" applyNumberFormat="1"/>
    <xf numFmtId="18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FDD8-4568-E248-B264-B46FF9221BEB}">
  <dimension ref="A1:I34"/>
  <sheetViews>
    <sheetView topLeftCell="A11" zoomScale="180" workbookViewId="0">
      <selection activeCell="E31" sqref="E31"/>
    </sheetView>
  </sheetViews>
  <sheetFormatPr baseColWidth="10" defaultRowHeight="16" x14ac:dyDescent="0.2"/>
  <cols>
    <col min="1" max="1" width="31.33203125" customWidth="1"/>
    <col min="2" max="2" width="16.6640625" customWidth="1"/>
  </cols>
  <sheetData>
    <row r="1" spans="1:8" ht="19" x14ac:dyDescent="0.25">
      <c r="A1" s="12" t="s">
        <v>46</v>
      </c>
      <c r="B1" s="12"/>
      <c r="C1" s="12"/>
      <c r="D1" s="12"/>
      <c r="E1" s="12"/>
      <c r="F1" s="12"/>
      <c r="G1" s="12"/>
      <c r="H1" s="12"/>
    </row>
    <row r="2" spans="1:8" x14ac:dyDescent="0.2">
      <c r="A2" t="s">
        <v>11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 spans="1:8" x14ac:dyDescent="0.2">
      <c r="A3" t="s">
        <v>11</v>
      </c>
      <c r="B3">
        <v>1</v>
      </c>
      <c r="C3">
        <v>4</v>
      </c>
      <c r="D3">
        <v>7</v>
      </c>
      <c r="E3">
        <v>10</v>
      </c>
      <c r="F3">
        <v>13</v>
      </c>
      <c r="G3">
        <v>16</v>
      </c>
      <c r="H3">
        <v>19</v>
      </c>
    </row>
    <row r="4" spans="1:8" x14ac:dyDescent="0.2">
      <c r="A4" t="s">
        <v>10</v>
      </c>
      <c r="B4" t="s">
        <v>12</v>
      </c>
      <c r="C4" t="s">
        <v>2</v>
      </c>
      <c r="D4" t="s">
        <v>12</v>
      </c>
      <c r="E4" t="s">
        <v>2</v>
      </c>
      <c r="F4" t="s">
        <v>12</v>
      </c>
      <c r="G4" t="s">
        <v>12</v>
      </c>
      <c r="H4" t="s">
        <v>2</v>
      </c>
    </row>
    <row r="5" spans="1:8" x14ac:dyDescent="0.2">
      <c r="A5" t="s">
        <v>10</v>
      </c>
      <c r="B5" t="s">
        <v>13</v>
      </c>
      <c r="C5" t="s">
        <v>14</v>
      </c>
      <c r="D5" t="s">
        <v>15</v>
      </c>
      <c r="E5" t="s">
        <v>13</v>
      </c>
      <c r="F5" t="s">
        <v>14</v>
      </c>
      <c r="G5" t="s">
        <v>15</v>
      </c>
      <c r="H5" t="s">
        <v>13</v>
      </c>
    </row>
    <row r="6" spans="1:8" x14ac:dyDescent="0.2">
      <c r="A6" t="s">
        <v>5</v>
      </c>
      <c r="B6" s="1" t="s">
        <v>5</v>
      </c>
    </row>
    <row r="7" spans="1:8" x14ac:dyDescent="0.2">
      <c r="A7" t="s">
        <v>6</v>
      </c>
      <c r="B7" s="13" t="s">
        <v>7</v>
      </c>
      <c r="C7" s="13"/>
      <c r="D7" s="13"/>
    </row>
    <row r="8" spans="1:8" x14ac:dyDescent="0.2">
      <c r="A8" t="s">
        <v>0</v>
      </c>
      <c r="B8">
        <v>1</v>
      </c>
    </row>
    <row r="9" spans="1:8" x14ac:dyDescent="0.2">
      <c r="A9" t="s">
        <v>1</v>
      </c>
      <c r="B9" t="s">
        <v>2</v>
      </c>
    </row>
    <row r="10" spans="1:8" x14ac:dyDescent="0.2">
      <c r="A10" t="s">
        <v>3</v>
      </c>
      <c r="B10" t="s">
        <v>4</v>
      </c>
    </row>
    <row r="11" spans="1:8" x14ac:dyDescent="0.2">
      <c r="A11" t="s">
        <v>8</v>
      </c>
      <c r="B11">
        <v>1</v>
      </c>
      <c r="C11" s="2" t="s">
        <v>9</v>
      </c>
      <c r="D11" s="3">
        <v>36088</v>
      </c>
    </row>
    <row r="12" spans="1:8" ht="19" x14ac:dyDescent="0.25">
      <c r="A12" s="12" t="s">
        <v>17</v>
      </c>
      <c r="B12" s="12"/>
      <c r="C12" s="12"/>
      <c r="D12" s="12"/>
      <c r="E12" s="12"/>
      <c r="F12" s="12"/>
      <c r="G12" s="12"/>
      <c r="H12" s="12"/>
    </row>
    <row r="13" spans="1:8" x14ac:dyDescent="0.2">
      <c r="A13" s="14" t="s">
        <v>26</v>
      </c>
      <c r="B13" s="14"/>
      <c r="C13" s="14"/>
      <c r="D13" s="14"/>
      <c r="E13" s="14"/>
      <c r="F13" s="14"/>
      <c r="G13" s="14"/>
      <c r="H13" s="14"/>
    </row>
    <row r="14" spans="1:8" x14ac:dyDescent="0.2">
      <c r="A14" t="s">
        <v>18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f>SUM(B14:G14)</f>
        <v>21</v>
      </c>
    </row>
    <row r="15" spans="1:8" x14ac:dyDescent="0.2">
      <c r="A15" t="s">
        <v>19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f>AVERAGE(B15:G15)</f>
        <v>3.5</v>
      </c>
    </row>
    <row r="16" spans="1:8" x14ac:dyDescent="0.2">
      <c r="A16" t="s">
        <v>20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f>MAX(B16:G16)</f>
        <v>6</v>
      </c>
    </row>
    <row r="17" spans="1:9" x14ac:dyDescent="0.2">
      <c r="A17" t="s">
        <v>21</v>
      </c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f>MIN(B17:G17)</f>
        <v>1</v>
      </c>
    </row>
    <row r="18" spans="1:9" x14ac:dyDescent="0.2">
      <c r="A18" t="s">
        <v>22</v>
      </c>
      <c r="B18">
        <v>3.1429999999999998</v>
      </c>
      <c r="C18">
        <f>ROUND(B18,2)</f>
        <v>3.14</v>
      </c>
    </row>
    <row r="19" spans="1:9" x14ac:dyDescent="0.2">
      <c r="A19" t="s">
        <v>24</v>
      </c>
      <c r="B19">
        <v>3.1429999999999998</v>
      </c>
      <c r="C19">
        <f>ROUNDUP(B19,1)</f>
        <v>3.2</v>
      </c>
    </row>
    <row r="20" spans="1:9" x14ac:dyDescent="0.2">
      <c r="A20" t="s">
        <v>25</v>
      </c>
      <c r="B20">
        <v>3.1429999999999998</v>
      </c>
      <c r="C20">
        <f>ROUNDDOWN(B20,1)</f>
        <v>3.1</v>
      </c>
    </row>
    <row r="21" spans="1:9" x14ac:dyDescent="0.2">
      <c r="A21" t="s">
        <v>23</v>
      </c>
      <c r="B21">
        <f ca="1">RAND()</f>
        <v>0.85889107896087025</v>
      </c>
      <c r="I21" t="s">
        <v>45</v>
      </c>
    </row>
    <row r="22" spans="1:9" x14ac:dyDescent="0.2">
      <c r="A22" s="14" t="s">
        <v>27</v>
      </c>
      <c r="B22" s="14"/>
      <c r="C22" s="14"/>
      <c r="D22" s="14"/>
      <c r="E22" s="14"/>
      <c r="F22" s="14"/>
      <c r="G22" s="14"/>
      <c r="H22" s="14"/>
    </row>
    <row r="23" spans="1:9" x14ac:dyDescent="0.2">
      <c r="A23" t="s">
        <v>28</v>
      </c>
      <c r="B23">
        <v>1</v>
      </c>
      <c r="C23">
        <v>1</v>
      </c>
      <c r="D23">
        <v>1</v>
      </c>
      <c r="E23">
        <v>1</v>
      </c>
      <c r="F23">
        <v>3</v>
      </c>
      <c r="G23">
        <v>1</v>
      </c>
      <c r="H23">
        <f>COUNT(B23:G23)</f>
        <v>6</v>
      </c>
      <c r="I23" t="s">
        <v>47</v>
      </c>
    </row>
    <row r="24" spans="1:9" x14ac:dyDescent="0.2">
      <c r="A24" t="s">
        <v>29</v>
      </c>
      <c r="B24">
        <v>1</v>
      </c>
      <c r="C24">
        <v>1</v>
      </c>
      <c r="E24" t="b">
        <v>1</v>
      </c>
      <c r="G24">
        <v>1</v>
      </c>
      <c r="H24">
        <f>COUNTA(B24:G24)</f>
        <v>4</v>
      </c>
      <c r="I24" t="s">
        <v>48</v>
      </c>
    </row>
    <row r="25" spans="1:9" x14ac:dyDescent="0.2">
      <c r="A25" t="s">
        <v>30</v>
      </c>
      <c r="B25">
        <v>10</v>
      </c>
      <c r="C25" s="7">
        <v>15</v>
      </c>
      <c r="D25" s="7">
        <v>20</v>
      </c>
      <c r="E25" s="7">
        <v>16</v>
      </c>
      <c r="F25" s="7">
        <v>18</v>
      </c>
      <c r="G25" s="7">
        <v>25</v>
      </c>
      <c r="H25">
        <f>COUNTIF(B25:G25,"&gt;=15")</f>
        <v>5</v>
      </c>
      <c r="I25" t="s">
        <v>49</v>
      </c>
    </row>
    <row r="26" spans="1:9" x14ac:dyDescent="0.2">
      <c r="A26" s="9" t="s">
        <v>36</v>
      </c>
      <c r="B26" s="10"/>
      <c r="C26" s="10"/>
      <c r="D26" s="10"/>
      <c r="E26" s="10"/>
      <c r="F26" s="10"/>
      <c r="G26" s="10"/>
      <c r="H26" s="11"/>
    </row>
    <row r="27" spans="1:9" x14ac:dyDescent="0.2">
      <c r="A27" t="s">
        <v>37</v>
      </c>
      <c r="B27" s="5">
        <f ca="1">NOW()</f>
        <v>46026.78026446759</v>
      </c>
    </row>
    <row r="28" spans="1:9" x14ac:dyDescent="0.2">
      <c r="A28" t="s">
        <v>38</v>
      </c>
      <c r="B28" s="3">
        <f ca="1">TODAY()</f>
        <v>46026</v>
      </c>
    </row>
    <row r="29" spans="1:9" x14ac:dyDescent="0.2">
      <c r="A29" t="s">
        <v>40</v>
      </c>
      <c r="B29" s="3">
        <f>DATE(2023, 12, 6)</f>
        <v>45266</v>
      </c>
    </row>
    <row r="30" spans="1:9" x14ac:dyDescent="0.2">
      <c r="A30" t="s">
        <v>39</v>
      </c>
      <c r="B30" s="6">
        <f>TIME(15, 30, 0)</f>
        <v>0.64583333333333337</v>
      </c>
    </row>
    <row r="31" spans="1:9" x14ac:dyDescent="0.2">
      <c r="A31" t="s">
        <v>42</v>
      </c>
      <c r="B31" s="3">
        <f ca="1">TODAY()</f>
        <v>46026</v>
      </c>
      <c r="C31" s="3">
        <f>DATE(2023, 12, 8)</f>
        <v>45268</v>
      </c>
      <c r="D31" t="e">
        <f ca="1">DATEDIF(B31,C31,"d")</f>
        <v>#NUM!</v>
      </c>
    </row>
    <row r="32" spans="1:9" x14ac:dyDescent="0.2">
      <c r="A32" t="s">
        <v>43</v>
      </c>
      <c r="B32" s="3">
        <f ca="1">TODAY()</f>
        <v>46026</v>
      </c>
      <c r="C32" s="3">
        <f>DATE(2020, 12, 8)</f>
        <v>44173</v>
      </c>
      <c r="D32">
        <f ca="1">DATEDIF(C32,B32,"m")</f>
        <v>60</v>
      </c>
    </row>
    <row r="33" spans="1:4" x14ac:dyDescent="0.2">
      <c r="A33" t="s">
        <v>44</v>
      </c>
      <c r="B33" s="3">
        <f ca="1">TODAY()</f>
        <v>46026</v>
      </c>
      <c r="C33" s="3">
        <f>DATE(2020, 12, 8)</f>
        <v>44173</v>
      </c>
      <c r="D33">
        <f ca="1">DATEDIF(C33,B33,"y")</f>
        <v>5</v>
      </c>
    </row>
    <row r="34" spans="1:4" x14ac:dyDescent="0.2">
      <c r="B34" s="3"/>
      <c r="C34" s="3"/>
    </row>
  </sheetData>
  <mergeCells count="6">
    <mergeCell ref="A26:H26"/>
    <mergeCell ref="A1:H1"/>
    <mergeCell ref="B7:D7"/>
    <mergeCell ref="A12:H12"/>
    <mergeCell ref="A13:H13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72AF-A6AE-0048-BF02-8277A59053E7}">
  <dimension ref="C2:P23"/>
  <sheetViews>
    <sheetView tabSelected="1" topLeftCell="H1" zoomScale="159" workbookViewId="0">
      <selection activeCell="M12" sqref="M12"/>
    </sheetView>
  </sheetViews>
  <sheetFormatPr baseColWidth="10" defaultRowHeight="16" x14ac:dyDescent="0.2"/>
  <cols>
    <col min="3" max="3" width="20.33203125" customWidth="1"/>
    <col min="4" max="4" width="19.6640625" customWidth="1"/>
    <col min="5" max="5" width="16.33203125" customWidth="1"/>
    <col min="6" max="6" width="15.83203125" customWidth="1"/>
    <col min="7" max="7" width="13.6640625" customWidth="1"/>
    <col min="8" max="8" width="16.6640625" customWidth="1"/>
    <col min="9" max="9" width="15.33203125" customWidth="1"/>
    <col min="13" max="13" width="23" customWidth="1"/>
    <col min="14" max="14" width="21" customWidth="1"/>
    <col min="15" max="15" width="21.1640625" customWidth="1"/>
  </cols>
  <sheetData>
    <row r="2" spans="3:16" x14ac:dyDescent="0.2">
      <c r="C2" s="16" t="s">
        <v>62</v>
      </c>
      <c r="D2" s="16"/>
      <c r="E2" s="16"/>
      <c r="F2" s="16"/>
      <c r="G2" s="16"/>
    </row>
    <row r="3" spans="3:16" x14ac:dyDescent="0.2">
      <c r="C3" s="8" t="s">
        <v>50</v>
      </c>
      <c r="D3" s="15" t="s">
        <v>16</v>
      </c>
      <c r="E3" s="15"/>
      <c r="F3" s="15"/>
      <c r="G3" s="15"/>
    </row>
    <row r="4" spans="3:16" x14ac:dyDescent="0.2">
      <c r="C4" s="17" t="s">
        <v>31</v>
      </c>
      <c r="D4" s="4" t="s">
        <v>13</v>
      </c>
      <c r="E4" s="4" t="s">
        <v>15</v>
      </c>
      <c r="F4" s="4" t="str">
        <f>CONCATENATE(D4,E4)</f>
        <v>AshishJangra</v>
      </c>
      <c r="G4" s="4" t="str">
        <f>CONCATENATE(D4, "_",E4)</f>
        <v>Ashish_Jangra</v>
      </c>
      <c r="J4" s="18" t="s">
        <v>68</v>
      </c>
      <c r="K4" s="18" t="s">
        <v>69</v>
      </c>
      <c r="L4" t="s">
        <v>73</v>
      </c>
    </row>
    <row r="5" spans="3:16" x14ac:dyDescent="0.2">
      <c r="C5" s="4" t="s">
        <v>32</v>
      </c>
      <c r="D5" s="4" t="s">
        <v>41</v>
      </c>
      <c r="E5" s="4" t="str">
        <f>LEFT(D5,3)</f>
        <v>Ash</v>
      </c>
      <c r="F5" s="4"/>
      <c r="G5" s="4"/>
      <c r="J5" t="s">
        <v>13</v>
      </c>
      <c r="K5">
        <v>-34</v>
      </c>
      <c r="L5" t="str">
        <f>IF(K5&gt;=18,"eligible","not eligible")</f>
        <v>not eligible</v>
      </c>
      <c r="M5" t="str">
        <f>IF(K5&lt;=100,IF(K5&gt;=18,"Eligible","Not Eligible"),"person does not exists")</f>
        <v>Not Eligible</v>
      </c>
      <c r="N5" t="str">
        <f>IF(OR(K5&lt;=0,K5&gt;100),"person does not exists",IF(K5&gt;=18,"Eligible","Not Eligible"))</f>
        <v>person does not exists</v>
      </c>
      <c r="O5" t="str">
        <f>IF(ISBLANK(K5),"Age not Given", IF(ISNUMBER(K5),IF(OR(K5&lt;=0,K5&gt;100),"person does not exists",IF(K5&gt;=18,"Eligible","Not Eligible")), "NAN"))</f>
        <v>person does not exists</v>
      </c>
    </row>
    <row r="6" spans="3:16" x14ac:dyDescent="0.2">
      <c r="C6" s="4" t="s">
        <v>33</v>
      </c>
      <c r="D6" s="4" t="s">
        <v>41</v>
      </c>
      <c r="E6" s="4" t="str">
        <f>RIGHT(D6,3)</f>
        <v>gra</v>
      </c>
      <c r="F6" s="4"/>
      <c r="G6" s="4"/>
      <c r="J6" t="s">
        <v>70</v>
      </c>
      <c r="K6">
        <v>43</v>
      </c>
      <c r="L6" t="str">
        <f t="shared" ref="L6:L13" si="0">IF(K6&gt;=18,"eligible","not eligible")</f>
        <v>eligible</v>
      </c>
      <c r="M6" t="str">
        <f t="shared" ref="M6:M12" si="1">IF(K6&lt;=100,IF(K6&gt;=18,"Eligible","Not Eligible"),"person does not exists")</f>
        <v>Eligible</v>
      </c>
      <c r="N6" t="str">
        <f t="shared" ref="N6:N12" si="2">IF(OR(K6&lt;=0,K6&gt;100),"person does not exists",IF(K6&gt;=18,"Eligible","Not Eligible"))</f>
        <v>Eligible</v>
      </c>
      <c r="O6" t="str">
        <f t="shared" ref="O6:O13" si="3">IF(ISBLANK(K6),"Age not Given", IF(ISNUMBER(K6),IF(OR(K6&lt;=0,K6&gt;100),"person does not exists",IF(K6&gt;=18,"Eligible","Not Eligible")), "NAN"))</f>
        <v>Eligible</v>
      </c>
    </row>
    <row r="7" spans="3:16" x14ac:dyDescent="0.2">
      <c r="C7" s="4" t="s">
        <v>34</v>
      </c>
      <c r="D7" s="4" t="s">
        <v>41</v>
      </c>
      <c r="E7" s="4">
        <f>LEN(D7)</f>
        <v>13</v>
      </c>
      <c r="F7" s="4"/>
      <c r="G7" s="4"/>
      <c r="J7" t="s">
        <v>71</v>
      </c>
      <c r="K7">
        <v>22</v>
      </c>
      <c r="L7" t="str">
        <f t="shared" si="0"/>
        <v>eligible</v>
      </c>
      <c r="M7" t="str">
        <f t="shared" si="1"/>
        <v>Eligible</v>
      </c>
      <c r="N7" t="str">
        <f t="shared" si="2"/>
        <v>Eligible</v>
      </c>
      <c r="O7" t="str">
        <f t="shared" si="3"/>
        <v>Eligible</v>
      </c>
      <c r="P7" t="b">
        <f>ISNUMBER(L8)</f>
        <v>0</v>
      </c>
    </row>
    <row r="8" spans="3:16" x14ac:dyDescent="0.2">
      <c r="C8" s="4" t="s">
        <v>35</v>
      </c>
      <c r="D8" s="4" t="s">
        <v>41</v>
      </c>
      <c r="E8" s="4" t="str">
        <f>MID(D8,4,8)</f>
        <v>ish Jang</v>
      </c>
      <c r="F8" s="4"/>
      <c r="G8" s="4"/>
      <c r="J8" t="s">
        <v>72</v>
      </c>
      <c r="K8" t="s">
        <v>12</v>
      </c>
      <c r="L8" t="str">
        <f t="shared" si="0"/>
        <v>eligible</v>
      </c>
      <c r="M8" t="str">
        <f t="shared" si="1"/>
        <v>person does not exists</v>
      </c>
      <c r="N8" t="str">
        <f t="shared" si="2"/>
        <v>person does not exists</v>
      </c>
      <c r="O8" t="str">
        <f t="shared" si="3"/>
        <v>NAN</v>
      </c>
    </row>
    <row r="9" spans="3:16" x14ac:dyDescent="0.2">
      <c r="C9" s="4" t="s">
        <v>51</v>
      </c>
      <c r="D9" s="4" t="s">
        <v>41</v>
      </c>
      <c r="E9" s="4" t="str">
        <f>LOWER(D9)</f>
        <v>ashish jangra</v>
      </c>
      <c r="F9" s="4"/>
      <c r="G9" s="4"/>
      <c r="J9" t="s">
        <v>13</v>
      </c>
      <c r="K9">
        <v>24</v>
      </c>
      <c r="L9" t="str">
        <f t="shared" si="0"/>
        <v>eligible</v>
      </c>
      <c r="M9" t="str">
        <f t="shared" si="1"/>
        <v>Eligible</v>
      </c>
      <c r="N9" t="str">
        <f t="shared" si="2"/>
        <v>Eligible</v>
      </c>
      <c r="O9" t="str">
        <f t="shared" si="3"/>
        <v>Eligible</v>
      </c>
    </row>
    <row r="10" spans="3:16" x14ac:dyDescent="0.2">
      <c r="C10" s="4" t="s">
        <v>52</v>
      </c>
      <c r="D10" s="4" t="s">
        <v>41</v>
      </c>
      <c r="E10" s="4" t="str">
        <f>UPPER(D10)</f>
        <v>ASHISH JANGRA</v>
      </c>
      <c r="F10" s="4"/>
      <c r="G10" s="4"/>
      <c r="J10" t="s">
        <v>70</v>
      </c>
      <c r="K10">
        <v>17</v>
      </c>
      <c r="L10" t="str">
        <f t="shared" si="0"/>
        <v>not eligible</v>
      </c>
      <c r="M10" t="str">
        <f t="shared" si="1"/>
        <v>Not Eligible</v>
      </c>
      <c r="N10" t="str">
        <f t="shared" si="2"/>
        <v>Not Eligible</v>
      </c>
      <c r="O10" t="str">
        <f t="shared" si="3"/>
        <v>Not Eligible</v>
      </c>
    </row>
    <row r="11" spans="3:16" x14ac:dyDescent="0.2">
      <c r="C11" s="4" t="s">
        <v>53</v>
      </c>
      <c r="D11" s="4" t="s">
        <v>54</v>
      </c>
      <c r="E11" s="4" t="str">
        <f>PROPER(D11)</f>
        <v>Ashish Jangra</v>
      </c>
      <c r="F11" s="4"/>
      <c r="G11" s="4"/>
      <c r="J11" t="s">
        <v>71</v>
      </c>
      <c r="K11">
        <v>89</v>
      </c>
      <c r="L11" t="str">
        <f t="shared" si="0"/>
        <v>eligible</v>
      </c>
      <c r="M11" t="str">
        <f t="shared" si="1"/>
        <v>Eligible</v>
      </c>
      <c r="N11" t="str">
        <f t="shared" si="2"/>
        <v>Eligible</v>
      </c>
      <c r="O11" t="str">
        <f t="shared" si="3"/>
        <v>Eligible</v>
      </c>
    </row>
    <row r="12" spans="3:16" x14ac:dyDescent="0.2">
      <c r="C12" s="4" t="s">
        <v>55</v>
      </c>
      <c r="D12" s="4" t="s">
        <v>56</v>
      </c>
      <c r="E12" s="4" t="str">
        <f>TRIM(D12)</f>
        <v>Ashish Jangra</v>
      </c>
      <c r="F12" s="4"/>
      <c r="G12" s="4"/>
      <c r="J12" t="s">
        <v>74</v>
      </c>
      <c r="K12">
        <v>150</v>
      </c>
      <c r="L12" t="str">
        <f t="shared" si="0"/>
        <v>eligible</v>
      </c>
      <c r="M12" t="str">
        <f t="shared" si="1"/>
        <v>person does not exists</v>
      </c>
      <c r="N12" t="str">
        <f t="shared" si="2"/>
        <v>person does not exists</v>
      </c>
      <c r="O12" t="str">
        <f t="shared" si="3"/>
        <v>person does not exists</v>
      </c>
    </row>
    <row r="13" spans="3:16" x14ac:dyDescent="0.2">
      <c r="C13" s="4" t="s">
        <v>57</v>
      </c>
      <c r="D13" s="4" t="s">
        <v>41</v>
      </c>
      <c r="E13" s="4">
        <f>FIND("sh",D13)</f>
        <v>2</v>
      </c>
      <c r="F13" s="4"/>
      <c r="G13" s="4"/>
      <c r="J13" t="s">
        <v>78</v>
      </c>
      <c r="L13" t="str">
        <f t="shared" si="0"/>
        <v>not eligible</v>
      </c>
      <c r="M13" t="str">
        <f t="shared" ref="M13" si="4">IF(K13&lt;=100,IF(K13&gt;=18,"Eligible","Not Eligible"),"person does not exists")</f>
        <v>Not Eligible</v>
      </c>
      <c r="N13" t="str">
        <f t="shared" ref="N13" si="5">IF(OR(K13&lt;=0,K13&gt;100),"person does not exists",IF(K13&gt;=18,"Eligible","Not Eligible"))</f>
        <v>person does not exists</v>
      </c>
      <c r="O13" t="str">
        <f t="shared" si="3"/>
        <v>Age not Given</v>
      </c>
    </row>
    <row r="14" spans="3:16" x14ac:dyDescent="0.2">
      <c r="C14" s="4" t="s">
        <v>58</v>
      </c>
      <c r="D14" s="4" t="s">
        <v>41</v>
      </c>
      <c r="E14" s="4">
        <f>SEARCH("sh",D14)</f>
        <v>2</v>
      </c>
      <c r="F14" s="4"/>
      <c r="G14" s="4"/>
    </row>
    <row r="15" spans="3:16" x14ac:dyDescent="0.2">
      <c r="C15" s="4" t="s">
        <v>59</v>
      </c>
      <c r="D15" s="4" t="s">
        <v>41</v>
      </c>
      <c r="E15" s="4" t="str">
        <f>REPLACE(D15,3,2,"-")</f>
        <v>As-sh Jangra</v>
      </c>
      <c r="F15" s="4"/>
      <c r="G15" s="4"/>
    </row>
    <row r="16" spans="3:16" x14ac:dyDescent="0.2">
      <c r="C16" s="4" t="s">
        <v>60</v>
      </c>
      <c r="D16" s="4" t="s">
        <v>41</v>
      </c>
      <c r="E16" s="4" t="str" cm="1">
        <f t="array" ref="E16:G16">_xlfn.TEXTSPLIT(D16, "h")</f>
        <v>As</v>
      </c>
      <c r="F16" s="4" t="str">
        <v>is</v>
      </c>
      <c r="G16" s="4" t="str">
        <v xml:space="preserve"> Jangra</v>
      </c>
    </row>
    <row r="17" spans="3:13" x14ac:dyDescent="0.2">
      <c r="C17" s="17" t="s">
        <v>61</v>
      </c>
      <c r="D17" s="4" t="s">
        <v>13</v>
      </c>
      <c r="E17" s="4" t="s">
        <v>15</v>
      </c>
      <c r="F17" s="4" t="str">
        <f>_xlfn.TEXTJOIN("_",TRUE,D17:E17)</f>
        <v>Ashish_Jangra</v>
      </c>
      <c r="G17" s="4"/>
    </row>
    <row r="18" spans="3:13" x14ac:dyDescent="0.2">
      <c r="L18" t="s">
        <v>75</v>
      </c>
      <c r="M18" t="b">
        <f>OR(K11&gt;100,K11&lt;0)</f>
        <v>0</v>
      </c>
    </row>
    <row r="19" spans="3:13" x14ac:dyDescent="0.2">
      <c r="C19" t="s">
        <v>63</v>
      </c>
      <c r="D19" t="str">
        <f>PROPER(TRIM(C19))</f>
        <v>Ashish Jangra</v>
      </c>
      <c r="L19" t="s">
        <v>76</v>
      </c>
    </row>
    <row r="20" spans="3:13" x14ac:dyDescent="0.2">
      <c r="C20" t="s">
        <v>65</v>
      </c>
      <c r="D20" t="str">
        <f>PROPER(C20)</f>
        <v>Wallet</v>
      </c>
      <c r="E20" t="str">
        <f>LOWER(C20)</f>
        <v>wallet</v>
      </c>
      <c r="F20" t="str" cm="1">
        <f t="array" ref="F20:F23">UPPER(C20:C23)</f>
        <v>WALLET</v>
      </c>
      <c r="L20" t="s">
        <v>77</v>
      </c>
    </row>
    <row r="21" spans="3:13" x14ac:dyDescent="0.2">
      <c r="C21" t="s">
        <v>64</v>
      </c>
      <c r="D21" t="str">
        <f t="shared" ref="D21:D23" si="6">PROPER(C21)</f>
        <v>Wallet</v>
      </c>
      <c r="E21" t="str">
        <f t="shared" ref="E21:E23" si="7">LOWER(C21)</f>
        <v>wallet</v>
      </c>
      <c r="F21" t="str">
        <v>WALLET</v>
      </c>
      <c r="L21" t="s">
        <v>79</v>
      </c>
    </row>
    <row r="22" spans="3:13" x14ac:dyDescent="0.2">
      <c r="C22" t="s">
        <v>66</v>
      </c>
      <c r="D22" t="str">
        <f t="shared" si="6"/>
        <v>Wallet</v>
      </c>
      <c r="E22" t="str">
        <f t="shared" si="7"/>
        <v>wallet</v>
      </c>
      <c r="F22" t="str">
        <v>WALLET</v>
      </c>
    </row>
    <row r="23" spans="3:13" x14ac:dyDescent="0.2">
      <c r="C23" t="s">
        <v>67</v>
      </c>
      <c r="D23" t="str">
        <f t="shared" si="6"/>
        <v>Wallet</v>
      </c>
      <c r="E23" t="str">
        <f t="shared" si="7"/>
        <v>wallet</v>
      </c>
      <c r="F23" t="str">
        <v>WALLET</v>
      </c>
    </row>
  </sheetData>
  <mergeCells count="2">
    <mergeCell ref="D3:G3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Introduction to Excel</vt:lpstr>
      <vt:lpstr>2. Text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Jangra</dc:creator>
  <cp:lastModifiedBy>Ashish Jangra</cp:lastModifiedBy>
  <dcterms:created xsi:type="dcterms:W3CDTF">2023-12-06T04:08:35Z</dcterms:created>
  <dcterms:modified xsi:type="dcterms:W3CDTF">2026-01-04T13:24:38Z</dcterms:modified>
</cp:coreProperties>
</file>